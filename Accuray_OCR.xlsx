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1" sheetId="1" r:id="rId5"/>
    <sheet state="visible" name="EXP2" sheetId="2" r:id="rId6"/>
  </sheets>
  <definedNames/>
  <calcPr/>
</workbook>
</file>

<file path=xl/sharedStrings.xml><?xml version="1.0" encoding="utf-8"?>
<sst xmlns="http://schemas.openxmlformats.org/spreadsheetml/2006/main" count="92" uniqueCount="35">
  <si>
    <t>ชื่อไฟล์</t>
  </si>
  <si>
    <t>Total Pill</t>
  </si>
  <si>
    <t>Gemini 3.1 Flash lite</t>
  </si>
  <si>
    <t>Qwen2.5vl:7b</t>
  </si>
  <si>
    <t>Qwen3.5:9b</t>
  </si>
  <si>
    <t>EasyOCR</t>
  </si>
  <si>
    <t>with PRE</t>
  </si>
  <si>
    <t>Accuracy (%)</t>
  </si>
  <si>
    <t>without PRE</t>
  </si>
  <si>
    <t>20250919_033737975_iOS_jpg.rf.979cd152d1ff45b7b2ed3edcac23fd61.jpg</t>
  </si>
  <si>
    <t>4_66_1_-original_jpg.rf.0343ea320a2156898ee4a767df1b11b6.jpg</t>
  </si>
  <si>
    <t>4_9_1_-original_jpg.rf.9ecbe6f38bae5b5e945953609612b550.jpg</t>
  </si>
  <si>
    <t>5_13_1_-original_jpg.rf.a24d5d5566db5d50a824af44722bbd1f.jpg</t>
  </si>
  <si>
    <t>7_1_1_-original_jpg.rf.101d60f4ad4bc6f7b3907c1eb632013d.jpg</t>
  </si>
  <si>
    <t>7_4_1_-original_jpg.rf.112709894b3e4df27763eb0c6c5fdf75.jpg</t>
  </si>
  <si>
    <t>crop_IMG_5145_jpeg.rf.36088d37b7c2ff079f9fbbe4f8c16718.jpg</t>
  </si>
  <si>
    <t>crop_IMG_5153_jpeg.rf.831e40120c9896a039fa084837013ad6.jpg</t>
  </si>
  <si>
    <t>crop_IMG_5171_jpeg.rf.cb3268751ba028756f84b45dea767003.jpg</t>
  </si>
  <si>
    <t>syn_fixed_0900.jpg</t>
  </si>
  <si>
    <t>syn_fixed_0904.jpg</t>
  </si>
  <si>
    <t>syn_fixed_0905.jpg</t>
  </si>
  <si>
    <t>syn_fixed_0915.jpg</t>
  </si>
  <si>
    <t>syn_fixed_0972.jpg</t>
  </si>
  <si>
    <t>syn_fixed_0973.jpg</t>
  </si>
  <si>
    <t>syn_fixed_0979.jpg</t>
  </si>
  <si>
    <t>syn_fixed_0994.jpg</t>
  </si>
  <si>
    <t>syn_large_0904.jpg</t>
  </si>
  <si>
    <t>syn_large_0908.jpg</t>
  </si>
  <si>
    <t>syn_large_0915.jpg</t>
  </si>
  <si>
    <t>syn_large_0916.jpg</t>
  </si>
  <si>
    <t>syn_large_0919.jpg</t>
  </si>
  <si>
    <t>syn_large_0928.jpg</t>
  </si>
  <si>
    <t>syn_large_0931.jpg</t>
  </si>
  <si>
    <t>syn_large_0938.jpg</t>
  </si>
  <si>
    <t>รวม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</si>
</sst>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Sarabun"/>
    </font>
    <font>
      <sz val="13.0"/>
      <color theme="1"/>
      <name val="Kanit"/>
    </font>
    <font>
      <b/>
      <sz val="13.0"/>
      <color rgb="FF000000"/>
      <name val="Sarabun"/>
    </font>
    <font>
      <sz val="13.0"/>
      <color theme="1"/>
      <name val="Sarabun"/>
    </font>
  </fonts>
  <fills count="9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3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4" numFmtId="0" xfId="0" applyFont="1"/>
    <xf borderId="0" fillId="7" fontId="1" numFmtId="0" xfId="0" applyAlignment="1" applyFill="1" applyFont="1">
      <alignment readingOrder="0"/>
    </xf>
    <xf borderId="0" fillId="8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4.63"/>
    <col customWidth="1" min="2" max="2" width="18.38"/>
    <col customWidth="1" min="3" max="3" width="9.63"/>
    <col customWidth="1" min="4" max="4" width="14.0"/>
    <col customWidth="1" min="5" max="5" width="13.0"/>
    <col customWidth="1" min="6" max="6" width="14.0"/>
    <col customWidth="1" min="7" max="7" width="9.63"/>
    <col customWidth="1" min="8" max="8" width="14.0"/>
    <col customWidth="1" min="9" max="9" width="13.0"/>
    <col customWidth="1" min="10" max="14" width="14.0"/>
    <col customWidth="1" min="16" max="16" width="13.5"/>
  </cols>
  <sheetData>
    <row r="1">
      <c r="A1" s="1" t="s">
        <v>0</v>
      </c>
      <c r="B1" s="1" t="s">
        <v>1</v>
      </c>
      <c r="C1" s="2" t="s">
        <v>2</v>
      </c>
      <c r="G1" s="3" t="s">
        <v>3</v>
      </c>
      <c r="K1" s="4" t="s">
        <v>4</v>
      </c>
      <c r="O1" s="5" t="s">
        <v>5</v>
      </c>
    </row>
    <row r="2">
      <c r="C2" s="6" t="s">
        <v>6</v>
      </c>
      <c r="D2" s="6" t="s">
        <v>7</v>
      </c>
      <c r="E2" s="6" t="s">
        <v>8</v>
      </c>
      <c r="F2" s="6" t="s">
        <v>7</v>
      </c>
      <c r="G2" s="7" t="s">
        <v>6</v>
      </c>
      <c r="H2" s="7" t="s">
        <v>7</v>
      </c>
      <c r="I2" s="7" t="s">
        <v>8</v>
      </c>
      <c r="J2" s="7" t="s">
        <v>7</v>
      </c>
      <c r="K2" s="8" t="s">
        <v>6</v>
      </c>
      <c r="L2" s="8" t="s">
        <v>7</v>
      </c>
      <c r="M2" s="8" t="s">
        <v>8</v>
      </c>
      <c r="N2" s="8" t="s">
        <v>7</v>
      </c>
      <c r="O2" s="5" t="s">
        <v>6</v>
      </c>
      <c r="P2" s="5" t="s">
        <v>7</v>
      </c>
    </row>
    <row r="3">
      <c r="A3" s="9" t="s">
        <v>9</v>
      </c>
      <c r="B3" s="10">
        <v>4.0</v>
      </c>
      <c r="C3" s="10">
        <v>3.0</v>
      </c>
      <c r="D3" s="11">
        <f t="shared" ref="D3:D27" si="1"> ROUND((C3 / B3) * 100,2)</f>
        <v>75</v>
      </c>
      <c r="E3" s="10">
        <v>1.0</v>
      </c>
      <c r="F3" s="11">
        <f t="shared" ref="F3:F28" si="2"> ROUND((E3 / B3) * 100,2)</f>
        <v>25</v>
      </c>
      <c r="G3" s="10">
        <v>1.0</v>
      </c>
      <c r="H3" s="11">
        <f t="shared" ref="H3:H27" si="3">ROUND((G3/B3)*100,2)</f>
        <v>25</v>
      </c>
      <c r="I3" s="10">
        <v>0.0</v>
      </c>
      <c r="J3" s="11">
        <f t="shared" ref="J3:J27" si="4">ROUND((I3/B3)*100,2)</f>
        <v>0</v>
      </c>
      <c r="K3" s="10">
        <v>0.0</v>
      </c>
      <c r="L3" s="11">
        <f t="shared" ref="L3:L28" si="5">ROUND((K3/B3)*100,2)</f>
        <v>0</v>
      </c>
      <c r="M3" s="10">
        <v>0.0</v>
      </c>
      <c r="N3" s="11">
        <f t="shared" ref="N3:N28" si="6">ROUND((M3/B3)*100,2)</f>
        <v>0</v>
      </c>
      <c r="O3" s="10">
        <v>0.0</v>
      </c>
      <c r="P3" s="11">
        <f t="shared" ref="P3:P27" si="7">ROUND((O3/B3)*100,2)</f>
        <v>0</v>
      </c>
    </row>
    <row r="4">
      <c r="A4" s="9" t="s">
        <v>10</v>
      </c>
      <c r="B4" s="10">
        <v>16.0</v>
      </c>
      <c r="C4" s="10">
        <v>3.0</v>
      </c>
      <c r="D4" s="11">
        <f t="shared" si="1"/>
        <v>18.75</v>
      </c>
      <c r="E4" s="10">
        <v>9.0</v>
      </c>
      <c r="F4" s="11">
        <f t="shared" si="2"/>
        <v>56.25</v>
      </c>
      <c r="G4" s="10">
        <v>8.0</v>
      </c>
      <c r="H4" s="11">
        <f t="shared" si="3"/>
        <v>50</v>
      </c>
      <c r="I4" s="10">
        <v>5.0</v>
      </c>
      <c r="J4" s="11">
        <f t="shared" si="4"/>
        <v>31.25</v>
      </c>
      <c r="K4" s="10">
        <v>0.0</v>
      </c>
      <c r="L4" s="11">
        <f t="shared" si="5"/>
        <v>0</v>
      </c>
      <c r="M4" s="10">
        <v>0.0</v>
      </c>
      <c r="N4" s="11">
        <f t="shared" si="6"/>
        <v>0</v>
      </c>
      <c r="O4" s="10">
        <v>1.0</v>
      </c>
      <c r="P4" s="11">
        <f t="shared" si="7"/>
        <v>6.25</v>
      </c>
    </row>
    <row r="5">
      <c r="A5" s="9" t="s">
        <v>11</v>
      </c>
      <c r="B5" s="10">
        <v>16.0</v>
      </c>
      <c r="C5" s="10">
        <v>5.0</v>
      </c>
      <c r="D5" s="11">
        <f t="shared" si="1"/>
        <v>31.25</v>
      </c>
      <c r="E5" s="10">
        <v>10.0</v>
      </c>
      <c r="F5" s="11">
        <f t="shared" si="2"/>
        <v>62.5</v>
      </c>
      <c r="G5" s="10">
        <v>4.0</v>
      </c>
      <c r="H5" s="11">
        <f t="shared" si="3"/>
        <v>25</v>
      </c>
      <c r="I5" s="10">
        <v>6.0</v>
      </c>
      <c r="J5" s="11">
        <f t="shared" si="4"/>
        <v>37.5</v>
      </c>
      <c r="K5" s="10">
        <v>0.0</v>
      </c>
      <c r="L5" s="11">
        <f t="shared" si="5"/>
        <v>0</v>
      </c>
      <c r="M5" s="10">
        <v>0.0</v>
      </c>
      <c r="N5" s="11">
        <f t="shared" si="6"/>
        <v>0</v>
      </c>
      <c r="O5" s="10">
        <v>1.0</v>
      </c>
      <c r="P5" s="11">
        <f t="shared" si="7"/>
        <v>6.25</v>
      </c>
    </row>
    <row r="6">
      <c r="A6" s="9" t="s">
        <v>12</v>
      </c>
      <c r="B6" s="10">
        <v>16.0</v>
      </c>
      <c r="C6" s="10">
        <v>7.0</v>
      </c>
      <c r="D6" s="11">
        <f t="shared" si="1"/>
        <v>43.75</v>
      </c>
      <c r="E6" s="10">
        <v>9.0</v>
      </c>
      <c r="F6" s="11">
        <f t="shared" si="2"/>
        <v>56.25</v>
      </c>
      <c r="G6" s="10">
        <v>8.0</v>
      </c>
      <c r="H6" s="11">
        <f t="shared" si="3"/>
        <v>50</v>
      </c>
      <c r="I6" s="10">
        <v>7.0</v>
      </c>
      <c r="J6" s="11">
        <f t="shared" si="4"/>
        <v>43.75</v>
      </c>
      <c r="K6" s="10">
        <v>0.0</v>
      </c>
      <c r="L6" s="11">
        <f t="shared" si="5"/>
        <v>0</v>
      </c>
      <c r="M6" s="10">
        <v>0.0</v>
      </c>
      <c r="N6" s="11">
        <f t="shared" si="6"/>
        <v>0</v>
      </c>
      <c r="O6" s="10">
        <v>2.0</v>
      </c>
      <c r="P6" s="11">
        <f t="shared" si="7"/>
        <v>12.5</v>
      </c>
    </row>
    <row r="7">
      <c r="A7" s="9" t="s">
        <v>13</v>
      </c>
      <c r="B7" s="10">
        <v>16.0</v>
      </c>
      <c r="C7" s="10">
        <v>7.0</v>
      </c>
      <c r="D7" s="11">
        <f t="shared" si="1"/>
        <v>43.75</v>
      </c>
      <c r="E7" s="10">
        <v>9.0</v>
      </c>
      <c r="F7" s="11">
        <f t="shared" si="2"/>
        <v>56.25</v>
      </c>
      <c r="G7" s="10">
        <v>7.0</v>
      </c>
      <c r="H7" s="11">
        <f t="shared" si="3"/>
        <v>43.75</v>
      </c>
      <c r="I7" s="10">
        <v>8.0</v>
      </c>
      <c r="J7" s="11">
        <f t="shared" si="4"/>
        <v>50</v>
      </c>
      <c r="K7" s="10">
        <v>0.0</v>
      </c>
      <c r="L7" s="11">
        <f t="shared" si="5"/>
        <v>0</v>
      </c>
      <c r="M7" s="10">
        <v>0.0</v>
      </c>
      <c r="N7" s="11">
        <f t="shared" si="6"/>
        <v>0</v>
      </c>
      <c r="O7" s="10">
        <v>1.0</v>
      </c>
      <c r="P7" s="11">
        <f t="shared" si="7"/>
        <v>6.25</v>
      </c>
    </row>
    <row r="8">
      <c r="A8" s="9" t="s">
        <v>14</v>
      </c>
      <c r="B8" s="10">
        <v>16.0</v>
      </c>
      <c r="C8" s="10">
        <v>6.0</v>
      </c>
      <c r="D8" s="11">
        <f t="shared" si="1"/>
        <v>37.5</v>
      </c>
      <c r="E8" s="10">
        <v>7.0</v>
      </c>
      <c r="F8" s="11">
        <f t="shared" si="2"/>
        <v>43.75</v>
      </c>
      <c r="G8" s="10">
        <v>5.0</v>
      </c>
      <c r="H8" s="11">
        <f t="shared" si="3"/>
        <v>31.25</v>
      </c>
      <c r="I8" s="10">
        <v>7.0</v>
      </c>
      <c r="J8" s="11">
        <f t="shared" si="4"/>
        <v>43.75</v>
      </c>
      <c r="K8" s="10">
        <v>0.0</v>
      </c>
      <c r="L8" s="11">
        <f t="shared" si="5"/>
        <v>0</v>
      </c>
      <c r="M8" s="10">
        <v>0.0</v>
      </c>
      <c r="N8" s="11">
        <f t="shared" si="6"/>
        <v>0</v>
      </c>
      <c r="O8" s="10">
        <v>0.0</v>
      </c>
      <c r="P8" s="11">
        <f t="shared" si="7"/>
        <v>0</v>
      </c>
    </row>
    <row r="9">
      <c r="A9" s="9" t="s">
        <v>15</v>
      </c>
      <c r="B9" s="10">
        <v>6.0</v>
      </c>
      <c r="C9" s="10">
        <v>3.0</v>
      </c>
      <c r="D9" s="11">
        <f t="shared" si="1"/>
        <v>50</v>
      </c>
      <c r="E9" s="10">
        <v>4.0</v>
      </c>
      <c r="F9" s="11">
        <f t="shared" si="2"/>
        <v>66.67</v>
      </c>
      <c r="G9" s="10">
        <v>2.0</v>
      </c>
      <c r="H9" s="11">
        <f t="shared" si="3"/>
        <v>33.33</v>
      </c>
      <c r="I9" s="10">
        <v>2.0</v>
      </c>
      <c r="J9" s="11">
        <f t="shared" si="4"/>
        <v>33.33</v>
      </c>
      <c r="K9" s="10">
        <v>0.0</v>
      </c>
      <c r="L9" s="11">
        <f t="shared" si="5"/>
        <v>0</v>
      </c>
      <c r="M9" s="10">
        <v>0.0</v>
      </c>
      <c r="N9" s="11">
        <f t="shared" si="6"/>
        <v>0</v>
      </c>
      <c r="O9" s="10">
        <v>0.0</v>
      </c>
      <c r="P9" s="11">
        <f t="shared" si="7"/>
        <v>0</v>
      </c>
    </row>
    <row r="10">
      <c r="A10" s="9" t="s">
        <v>16</v>
      </c>
      <c r="B10" s="10">
        <v>6.0</v>
      </c>
      <c r="C10" s="10">
        <v>2.0</v>
      </c>
      <c r="D10" s="11">
        <f t="shared" si="1"/>
        <v>33.33</v>
      </c>
      <c r="E10" s="10">
        <v>4.0</v>
      </c>
      <c r="F10" s="11">
        <f t="shared" si="2"/>
        <v>66.67</v>
      </c>
      <c r="G10" s="10">
        <v>2.0</v>
      </c>
      <c r="H10" s="11">
        <f t="shared" si="3"/>
        <v>33.33</v>
      </c>
      <c r="I10" s="10">
        <v>2.0</v>
      </c>
      <c r="J10" s="11">
        <f t="shared" si="4"/>
        <v>33.33</v>
      </c>
      <c r="K10" s="10">
        <v>0.0</v>
      </c>
      <c r="L10" s="11">
        <f t="shared" si="5"/>
        <v>0</v>
      </c>
      <c r="M10" s="10">
        <v>0.0</v>
      </c>
      <c r="N10" s="11">
        <f t="shared" si="6"/>
        <v>0</v>
      </c>
      <c r="O10" s="10">
        <v>0.0</v>
      </c>
      <c r="P10" s="11">
        <f t="shared" si="7"/>
        <v>0</v>
      </c>
    </row>
    <row r="11">
      <c r="A11" s="9" t="s">
        <v>17</v>
      </c>
      <c r="B11" s="10">
        <v>6.0</v>
      </c>
      <c r="C11" s="10">
        <v>2.0</v>
      </c>
      <c r="D11" s="11">
        <f t="shared" si="1"/>
        <v>33.33</v>
      </c>
      <c r="E11" s="10">
        <v>1.0</v>
      </c>
      <c r="F11" s="11">
        <f t="shared" si="2"/>
        <v>16.67</v>
      </c>
      <c r="G11" s="10">
        <v>1.0</v>
      </c>
      <c r="H11" s="11">
        <f t="shared" si="3"/>
        <v>16.67</v>
      </c>
      <c r="I11" s="10">
        <v>2.0</v>
      </c>
      <c r="J11" s="11">
        <f t="shared" si="4"/>
        <v>33.33</v>
      </c>
      <c r="K11" s="10">
        <v>0.0</v>
      </c>
      <c r="L11" s="11">
        <f t="shared" si="5"/>
        <v>0</v>
      </c>
      <c r="M11" s="10">
        <v>0.0</v>
      </c>
      <c r="N11" s="11">
        <f t="shared" si="6"/>
        <v>0</v>
      </c>
      <c r="O11" s="10">
        <v>0.0</v>
      </c>
      <c r="P11" s="11">
        <f t="shared" si="7"/>
        <v>0</v>
      </c>
    </row>
    <row r="12">
      <c r="A12" s="9" t="s">
        <v>18</v>
      </c>
      <c r="B12" s="10">
        <v>6.0</v>
      </c>
      <c r="C12" s="10">
        <v>4.0</v>
      </c>
      <c r="D12" s="11">
        <f t="shared" si="1"/>
        <v>66.67</v>
      </c>
      <c r="E12" s="10">
        <v>6.0</v>
      </c>
      <c r="F12" s="11">
        <f t="shared" si="2"/>
        <v>100</v>
      </c>
      <c r="G12" s="10">
        <v>2.0</v>
      </c>
      <c r="H12" s="11">
        <f t="shared" si="3"/>
        <v>33.33</v>
      </c>
      <c r="I12" s="10">
        <v>4.0</v>
      </c>
      <c r="J12" s="11">
        <f t="shared" si="4"/>
        <v>66.67</v>
      </c>
      <c r="K12" s="10">
        <v>0.0</v>
      </c>
      <c r="L12" s="11">
        <f t="shared" si="5"/>
        <v>0</v>
      </c>
      <c r="M12" s="10">
        <v>0.0</v>
      </c>
      <c r="N12" s="11">
        <f t="shared" si="6"/>
        <v>0</v>
      </c>
      <c r="O12" s="10">
        <v>4.0</v>
      </c>
      <c r="P12" s="11">
        <f t="shared" si="7"/>
        <v>66.67</v>
      </c>
    </row>
    <row r="13">
      <c r="A13" s="9" t="s">
        <v>19</v>
      </c>
      <c r="B13" s="10">
        <v>6.0</v>
      </c>
      <c r="C13" s="10">
        <v>4.0</v>
      </c>
      <c r="D13" s="11">
        <f t="shared" si="1"/>
        <v>66.67</v>
      </c>
      <c r="E13" s="10">
        <v>6.0</v>
      </c>
      <c r="F13" s="11">
        <f t="shared" si="2"/>
        <v>100</v>
      </c>
      <c r="G13" s="10">
        <v>4.0</v>
      </c>
      <c r="H13" s="11">
        <f t="shared" si="3"/>
        <v>66.67</v>
      </c>
      <c r="I13" s="10">
        <v>5.0</v>
      </c>
      <c r="J13" s="11">
        <f t="shared" si="4"/>
        <v>83.33</v>
      </c>
      <c r="K13" s="10">
        <v>0.0</v>
      </c>
      <c r="L13" s="11">
        <f t="shared" si="5"/>
        <v>0</v>
      </c>
      <c r="M13" s="10">
        <v>0.0</v>
      </c>
      <c r="N13" s="11">
        <f t="shared" si="6"/>
        <v>0</v>
      </c>
      <c r="O13" s="10">
        <v>1.0</v>
      </c>
      <c r="P13" s="11">
        <f t="shared" si="7"/>
        <v>16.67</v>
      </c>
    </row>
    <row r="14">
      <c r="A14" s="9" t="s">
        <v>20</v>
      </c>
      <c r="B14" s="10">
        <v>6.0</v>
      </c>
      <c r="C14" s="10">
        <v>6.0</v>
      </c>
      <c r="D14" s="11">
        <f t="shared" si="1"/>
        <v>100</v>
      </c>
      <c r="E14" s="10">
        <v>5.0</v>
      </c>
      <c r="F14" s="11">
        <f t="shared" si="2"/>
        <v>83.33</v>
      </c>
      <c r="G14" s="10">
        <v>6.0</v>
      </c>
      <c r="H14" s="11">
        <f t="shared" si="3"/>
        <v>100</v>
      </c>
      <c r="I14" s="10">
        <v>5.0</v>
      </c>
      <c r="J14" s="11">
        <f t="shared" si="4"/>
        <v>83.33</v>
      </c>
      <c r="K14" s="10">
        <v>0.0</v>
      </c>
      <c r="L14" s="11">
        <f t="shared" si="5"/>
        <v>0</v>
      </c>
      <c r="M14" s="10">
        <v>0.0</v>
      </c>
      <c r="N14" s="11">
        <f t="shared" si="6"/>
        <v>0</v>
      </c>
      <c r="O14" s="10">
        <v>5.0</v>
      </c>
      <c r="P14" s="11">
        <f t="shared" si="7"/>
        <v>83.33</v>
      </c>
    </row>
    <row r="15">
      <c r="A15" s="9" t="s">
        <v>21</v>
      </c>
      <c r="B15" s="10">
        <v>6.0</v>
      </c>
      <c r="C15" s="10">
        <v>6.0</v>
      </c>
      <c r="D15" s="11">
        <f t="shared" si="1"/>
        <v>100</v>
      </c>
      <c r="E15" s="10">
        <v>6.0</v>
      </c>
      <c r="F15" s="11">
        <f t="shared" si="2"/>
        <v>100</v>
      </c>
      <c r="G15" s="10">
        <v>4.0</v>
      </c>
      <c r="H15" s="11">
        <f t="shared" si="3"/>
        <v>66.67</v>
      </c>
      <c r="I15" s="10">
        <v>5.0</v>
      </c>
      <c r="J15" s="11">
        <f t="shared" si="4"/>
        <v>83.33</v>
      </c>
      <c r="K15" s="10">
        <v>0.0</v>
      </c>
      <c r="L15" s="11">
        <f t="shared" si="5"/>
        <v>0</v>
      </c>
      <c r="M15" s="10">
        <v>0.0</v>
      </c>
      <c r="N15" s="11">
        <f t="shared" si="6"/>
        <v>0</v>
      </c>
      <c r="O15" s="10">
        <v>5.0</v>
      </c>
      <c r="P15" s="11">
        <f t="shared" si="7"/>
        <v>83.33</v>
      </c>
    </row>
    <row r="16">
      <c r="A16" s="9" t="s">
        <v>22</v>
      </c>
      <c r="B16" s="10">
        <v>6.0</v>
      </c>
      <c r="C16" s="10">
        <v>4.0</v>
      </c>
      <c r="D16" s="11">
        <f t="shared" si="1"/>
        <v>66.67</v>
      </c>
      <c r="E16" s="10">
        <v>6.0</v>
      </c>
      <c r="F16" s="11">
        <f t="shared" si="2"/>
        <v>100</v>
      </c>
      <c r="G16" s="10">
        <v>4.0</v>
      </c>
      <c r="H16" s="11">
        <f t="shared" si="3"/>
        <v>66.67</v>
      </c>
      <c r="I16" s="10">
        <v>5.0</v>
      </c>
      <c r="J16" s="11">
        <f t="shared" si="4"/>
        <v>83.33</v>
      </c>
      <c r="K16" s="10">
        <v>0.0</v>
      </c>
      <c r="L16" s="11">
        <f t="shared" si="5"/>
        <v>0</v>
      </c>
      <c r="M16" s="10">
        <v>0.0</v>
      </c>
      <c r="N16" s="11">
        <f t="shared" si="6"/>
        <v>0</v>
      </c>
      <c r="O16" s="10">
        <v>5.0</v>
      </c>
      <c r="P16" s="11">
        <f t="shared" si="7"/>
        <v>83.33</v>
      </c>
    </row>
    <row r="17">
      <c r="A17" s="9" t="s">
        <v>23</v>
      </c>
      <c r="B17" s="10">
        <v>6.0</v>
      </c>
      <c r="C17" s="10">
        <v>1.0</v>
      </c>
      <c r="D17" s="11">
        <f t="shared" si="1"/>
        <v>16.67</v>
      </c>
      <c r="E17" s="10">
        <v>5.0</v>
      </c>
      <c r="F17" s="11">
        <f t="shared" si="2"/>
        <v>83.33</v>
      </c>
      <c r="G17" s="10">
        <v>6.0</v>
      </c>
      <c r="H17" s="11">
        <f t="shared" si="3"/>
        <v>100</v>
      </c>
      <c r="I17" s="10">
        <v>5.0</v>
      </c>
      <c r="J17" s="11">
        <f t="shared" si="4"/>
        <v>83.33</v>
      </c>
      <c r="K17" s="10">
        <v>0.0</v>
      </c>
      <c r="L17" s="11">
        <f t="shared" si="5"/>
        <v>0</v>
      </c>
      <c r="M17" s="10">
        <v>0.0</v>
      </c>
      <c r="N17" s="11">
        <f t="shared" si="6"/>
        <v>0</v>
      </c>
      <c r="O17" s="10">
        <v>5.0</v>
      </c>
      <c r="P17" s="11">
        <f t="shared" si="7"/>
        <v>83.33</v>
      </c>
    </row>
    <row r="18">
      <c r="A18" s="9" t="s">
        <v>24</v>
      </c>
      <c r="B18" s="10">
        <v>6.0</v>
      </c>
      <c r="C18" s="10">
        <v>6.0</v>
      </c>
      <c r="D18" s="11">
        <f t="shared" si="1"/>
        <v>100</v>
      </c>
      <c r="E18" s="10">
        <v>6.0</v>
      </c>
      <c r="F18" s="11">
        <f t="shared" si="2"/>
        <v>100</v>
      </c>
      <c r="G18" s="10">
        <v>4.0</v>
      </c>
      <c r="H18" s="11">
        <f t="shared" si="3"/>
        <v>66.67</v>
      </c>
      <c r="I18" s="10">
        <v>3.0</v>
      </c>
      <c r="J18" s="11">
        <f t="shared" si="4"/>
        <v>50</v>
      </c>
      <c r="K18" s="10">
        <v>0.0</v>
      </c>
      <c r="L18" s="11">
        <f t="shared" si="5"/>
        <v>0</v>
      </c>
      <c r="M18" s="10">
        <v>0.0</v>
      </c>
      <c r="N18" s="11">
        <f t="shared" si="6"/>
        <v>0</v>
      </c>
      <c r="O18" s="10">
        <v>0.0</v>
      </c>
      <c r="P18" s="11">
        <f t="shared" si="7"/>
        <v>0</v>
      </c>
    </row>
    <row r="19">
      <c r="A19" s="9" t="s">
        <v>25</v>
      </c>
      <c r="B19" s="10">
        <v>6.0</v>
      </c>
      <c r="C19" s="10">
        <v>5.0</v>
      </c>
      <c r="D19" s="11">
        <f t="shared" si="1"/>
        <v>83.33</v>
      </c>
      <c r="E19" s="10">
        <v>5.0</v>
      </c>
      <c r="F19" s="11">
        <f t="shared" si="2"/>
        <v>83.33</v>
      </c>
      <c r="G19" s="10">
        <v>4.0</v>
      </c>
      <c r="H19" s="11">
        <f t="shared" si="3"/>
        <v>66.67</v>
      </c>
      <c r="I19" s="10">
        <v>2.0</v>
      </c>
      <c r="J19" s="11">
        <f t="shared" si="4"/>
        <v>33.33</v>
      </c>
      <c r="K19" s="10">
        <v>0.0</v>
      </c>
      <c r="L19" s="11">
        <f t="shared" si="5"/>
        <v>0</v>
      </c>
      <c r="M19" s="10">
        <v>0.0</v>
      </c>
      <c r="N19" s="11">
        <f t="shared" si="6"/>
        <v>0</v>
      </c>
      <c r="O19" s="10">
        <v>1.0</v>
      </c>
      <c r="P19" s="11">
        <f t="shared" si="7"/>
        <v>16.67</v>
      </c>
    </row>
    <row r="20">
      <c r="A20" s="9" t="s">
        <v>26</v>
      </c>
      <c r="B20" s="10">
        <v>5.0</v>
      </c>
      <c r="C20" s="10">
        <v>1.0</v>
      </c>
      <c r="D20" s="11">
        <f t="shared" si="1"/>
        <v>20</v>
      </c>
      <c r="E20" s="10">
        <v>5.0</v>
      </c>
      <c r="F20" s="11">
        <f t="shared" si="2"/>
        <v>100</v>
      </c>
      <c r="G20" s="10">
        <v>3.0</v>
      </c>
      <c r="H20" s="11">
        <f t="shared" si="3"/>
        <v>60</v>
      </c>
      <c r="I20" s="10">
        <v>3.0</v>
      </c>
      <c r="J20" s="11">
        <f t="shared" si="4"/>
        <v>60</v>
      </c>
      <c r="K20" s="10">
        <v>0.0</v>
      </c>
      <c r="L20" s="11">
        <f t="shared" si="5"/>
        <v>0</v>
      </c>
      <c r="M20" s="10">
        <v>0.0</v>
      </c>
      <c r="N20" s="11">
        <f t="shared" si="6"/>
        <v>0</v>
      </c>
      <c r="O20" s="10">
        <v>1.0</v>
      </c>
      <c r="P20" s="11">
        <f t="shared" si="7"/>
        <v>20</v>
      </c>
    </row>
    <row r="21">
      <c r="A21" s="9" t="s">
        <v>27</v>
      </c>
      <c r="B21" s="10">
        <v>6.0</v>
      </c>
      <c r="C21" s="10">
        <v>4.0</v>
      </c>
      <c r="D21" s="11">
        <f t="shared" si="1"/>
        <v>66.67</v>
      </c>
      <c r="E21" s="10">
        <v>6.0</v>
      </c>
      <c r="F21" s="11">
        <f t="shared" si="2"/>
        <v>100</v>
      </c>
      <c r="G21" s="10">
        <v>2.0</v>
      </c>
      <c r="H21" s="11">
        <f t="shared" si="3"/>
        <v>33.33</v>
      </c>
      <c r="I21" s="10">
        <v>5.0</v>
      </c>
      <c r="J21" s="11">
        <f t="shared" si="4"/>
        <v>83.33</v>
      </c>
      <c r="K21" s="10">
        <v>0.0</v>
      </c>
      <c r="L21" s="11">
        <f t="shared" si="5"/>
        <v>0</v>
      </c>
      <c r="M21" s="10">
        <v>0.0</v>
      </c>
      <c r="N21" s="11">
        <f t="shared" si="6"/>
        <v>0</v>
      </c>
      <c r="O21" s="10">
        <v>1.0</v>
      </c>
      <c r="P21" s="11">
        <f t="shared" si="7"/>
        <v>16.67</v>
      </c>
    </row>
    <row r="22">
      <c r="A22" s="9" t="s">
        <v>28</v>
      </c>
      <c r="B22" s="10">
        <v>7.0</v>
      </c>
      <c r="C22" s="10">
        <v>6.0</v>
      </c>
      <c r="D22" s="11">
        <f t="shared" si="1"/>
        <v>85.71</v>
      </c>
      <c r="E22" s="10">
        <v>6.0</v>
      </c>
      <c r="F22" s="11">
        <f t="shared" si="2"/>
        <v>85.71</v>
      </c>
      <c r="G22" s="10">
        <v>4.0</v>
      </c>
      <c r="H22" s="11">
        <f t="shared" si="3"/>
        <v>57.14</v>
      </c>
      <c r="I22" s="10">
        <v>3.0</v>
      </c>
      <c r="J22" s="11">
        <f t="shared" si="4"/>
        <v>42.86</v>
      </c>
      <c r="K22" s="10">
        <v>0.0</v>
      </c>
      <c r="L22" s="11">
        <f t="shared" si="5"/>
        <v>0</v>
      </c>
      <c r="M22" s="10">
        <v>0.0</v>
      </c>
      <c r="N22" s="11">
        <f t="shared" si="6"/>
        <v>0</v>
      </c>
      <c r="O22" s="10">
        <v>5.0</v>
      </c>
      <c r="P22" s="11">
        <f t="shared" si="7"/>
        <v>71.43</v>
      </c>
    </row>
    <row r="23">
      <c r="A23" s="9" t="s">
        <v>29</v>
      </c>
      <c r="B23" s="10">
        <v>5.0</v>
      </c>
      <c r="C23" s="10">
        <v>4.0</v>
      </c>
      <c r="D23" s="11">
        <f t="shared" si="1"/>
        <v>80</v>
      </c>
      <c r="E23" s="10">
        <v>4.0</v>
      </c>
      <c r="F23" s="11">
        <f t="shared" si="2"/>
        <v>80</v>
      </c>
      <c r="G23" s="10">
        <v>2.0</v>
      </c>
      <c r="H23" s="11">
        <f t="shared" si="3"/>
        <v>40</v>
      </c>
      <c r="I23" s="10">
        <v>2.0</v>
      </c>
      <c r="J23" s="11">
        <f t="shared" si="4"/>
        <v>40</v>
      </c>
      <c r="K23" s="10">
        <v>0.0</v>
      </c>
      <c r="L23" s="11">
        <f t="shared" si="5"/>
        <v>0</v>
      </c>
      <c r="M23" s="10">
        <v>0.0</v>
      </c>
      <c r="N23" s="11">
        <f t="shared" si="6"/>
        <v>0</v>
      </c>
      <c r="O23" s="10">
        <v>5.0</v>
      </c>
      <c r="P23" s="11">
        <f t="shared" si="7"/>
        <v>100</v>
      </c>
    </row>
    <row r="24">
      <c r="A24" s="9" t="s">
        <v>30</v>
      </c>
      <c r="B24" s="10">
        <v>7.0</v>
      </c>
      <c r="C24" s="10">
        <v>0.0</v>
      </c>
      <c r="D24" s="11">
        <f t="shared" si="1"/>
        <v>0</v>
      </c>
      <c r="E24" s="10">
        <v>7.0</v>
      </c>
      <c r="F24" s="11">
        <f t="shared" si="2"/>
        <v>100</v>
      </c>
      <c r="G24" s="10">
        <v>6.0</v>
      </c>
      <c r="H24" s="11">
        <f t="shared" si="3"/>
        <v>85.71</v>
      </c>
      <c r="I24" s="10">
        <v>4.0</v>
      </c>
      <c r="J24" s="11">
        <f t="shared" si="4"/>
        <v>57.14</v>
      </c>
      <c r="K24" s="10">
        <v>0.0</v>
      </c>
      <c r="L24" s="11">
        <f t="shared" si="5"/>
        <v>0</v>
      </c>
      <c r="M24" s="10">
        <v>0.0</v>
      </c>
      <c r="N24" s="11">
        <f t="shared" si="6"/>
        <v>0</v>
      </c>
      <c r="O24" s="10">
        <v>4.0</v>
      </c>
      <c r="P24" s="11">
        <f t="shared" si="7"/>
        <v>57.14</v>
      </c>
    </row>
    <row r="25">
      <c r="A25" s="9" t="s">
        <v>31</v>
      </c>
      <c r="B25" s="10">
        <v>7.0</v>
      </c>
      <c r="C25" s="10">
        <v>6.0</v>
      </c>
      <c r="D25" s="11">
        <f t="shared" si="1"/>
        <v>85.71</v>
      </c>
      <c r="E25" s="10">
        <v>4.0</v>
      </c>
      <c r="F25" s="11">
        <f t="shared" si="2"/>
        <v>57.14</v>
      </c>
      <c r="G25" s="10">
        <v>2.0</v>
      </c>
      <c r="H25" s="11">
        <f t="shared" si="3"/>
        <v>28.57</v>
      </c>
      <c r="I25" s="10">
        <v>2.0</v>
      </c>
      <c r="J25" s="11">
        <f t="shared" si="4"/>
        <v>28.57</v>
      </c>
      <c r="K25" s="10">
        <v>0.0</v>
      </c>
      <c r="L25" s="11">
        <f t="shared" si="5"/>
        <v>0</v>
      </c>
      <c r="M25" s="10">
        <v>0.0</v>
      </c>
      <c r="N25" s="11">
        <f t="shared" si="6"/>
        <v>0</v>
      </c>
      <c r="O25" s="10">
        <v>5.0</v>
      </c>
      <c r="P25" s="11">
        <f t="shared" si="7"/>
        <v>71.43</v>
      </c>
    </row>
    <row r="26">
      <c r="A26" s="9" t="s">
        <v>32</v>
      </c>
      <c r="B26" s="10">
        <v>6.0</v>
      </c>
      <c r="C26" s="10">
        <v>2.0</v>
      </c>
      <c r="D26" s="11">
        <f t="shared" si="1"/>
        <v>33.33</v>
      </c>
      <c r="E26" s="10">
        <v>6.0</v>
      </c>
      <c r="F26" s="11">
        <f t="shared" si="2"/>
        <v>100</v>
      </c>
      <c r="G26" s="10">
        <v>4.0</v>
      </c>
      <c r="H26" s="11">
        <f t="shared" si="3"/>
        <v>66.67</v>
      </c>
      <c r="I26" s="10">
        <v>1.0</v>
      </c>
      <c r="J26" s="11">
        <f t="shared" si="4"/>
        <v>16.67</v>
      </c>
      <c r="K26" s="10">
        <v>0.0</v>
      </c>
      <c r="L26" s="11">
        <f t="shared" si="5"/>
        <v>0</v>
      </c>
      <c r="M26" s="10">
        <v>0.0</v>
      </c>
      <c r="N26" s="11">
        <f t="shared" si="6"/>
        <v>0</v>
      </c>
      <c r="O26" s="10">
        <v>1.0</v>
      </c>
      <c r="P26" s="11">
        <f t="shared" si="7"/>
        <v>16.67</v>
      </c>
    </row>
    <row r="27">
      <c r="A27" s="9" t="s">
        <v>33</v>
      </c>
      <c r="B27" s="10">
        <v>5.0</v>
      </c>
      <c r="C27" s="10">
        <v>2.0</v>
      </c>
      <c r="D27" s="11">
        <f t="shared" si="1"/>
        <v>40</v>
      </c>
      <c r="E27" s="10">
        <v>5.0</v>
      </c>
      <c r="F27" s="11">
        <f t="shared" si="2"/>
        <v>100</v>
      </c>
      <c r="G27" s="10">
        <v>3.0</v>
      </c>
      <c r="H27" s="11">
        <f t="shared" si="3"/>
        <v>60</v>
      </c>
      <c r="I27" s="10">
        <v>4.0</v>
      </c>
      <c r="J27" s="11">
        <f t="shared" si="4"/>
        <v>80</v>
      </c>
      <c r="K27" s="10">
        <v>0.0</v>
      </c>
      <c r="L27" s="11">
        <f t="shared" si="5"/>
        <v>0</v>
      </c>
      <c r="M27" s="10">
        <v>0.0</v>
      </c>
      <c r="N27" s="11">
        <f t="shared" si="6"/>
        <v>0</v>
      </c>
      <c r="O27" s="10">
        <v>4.0</v>
      </c>
      <c r="P27" s="11">
        <f t="shared" si="7"/>
        <v>80</v>
      </c>
    </row>
    <row r="28">
      <c r="A28" s="12" t="s">
        <v>34</v>
      </c>
      <c r="B28" s="13">
        <f t="shared" ref="B28:C28" si="8">SUM(B3:B27)</f>
        <v>198</v>
      </c>
      <c r="C28" s="13">
        <f t="shared" si="8"/>
        <v>99</v>
      </c>
      <c r="D28" s="13">
        <f>ROUND((C28/B28)*100,2)</f>
        <v>50</v>
      </c>
      <c r="E28" s="13">
        <f>SUM(E3:E27)</f>
        <v>142</v>
      </c>
      <c r="F28" s="13">
        <f t="shared" si="2"/>
        <v>71.72</v>
      </c>
      <c r="G28" s="13">
        <f>SUM(G3:G27)</f>
        <v>98</v>
      </c>
      <c r="H28" s="13">
        <f> ROUND((G28 / B28) * 100,2)</f>
        <v>49.49</v>
      </c>
      <c r="I28" s="13">
        <f>SUM(I3:I27)</f>
        <v>97</v>
      </c>
      <c r="J28" s="13">
        <f> ROUND((I28 / B28) * 100,2)</f>
        <v>48.99</v>
      </c>
      <c r="K28" s="13">
        <f>SUM(K3:K27)</f>
        <v>0</v>
      </c>
      <c r="L28" s="13">
        <f t="shared" si="5"/>
        <v>0</v>
      </c>
      <c r="M28" s="13">
        <f>SUM(M3:M27)</f>
        <v>0</v>
      </c>
      <c r="N28" s="13">
        <f t="shared" si="6"/>
        <v>0</v>
      </c>
      <c r="O28" s="13">
        <f>SUM(O3:O27)</f>
        <v>57</v>
      </c>
      <c r="P28" s="13">
        <f> ROUND((O28 / B28) * 100,2)</f>
        <v>28.79</v>
      </c>
    </row>
  </sheetData>
  <mergeCells count="6">
    <mergeCell ref="A1:A2"/>
    <mergeCell ref="B1:B2"/>
    <mergeCell ref="C1:F1"/>
    <mergeCell ref="G1:J1"/>
    <mergeCell ref="K1:N1"/>
    <mergeCell ref="O1:P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4.63"/>
    <col customWidth="1" min="2" max="2" width="18.38"/>
    <col customWidth="1" min="3" max="3" width="9.63"/>
    <col customWidth="1" min="4" max="4" width="14.0"/>
    <col customWidth="1" min="5" max="5" width="13.0"/>
    <col customWidth="1" min="6" max="6" width="14.0"/>
    <col customWidth="1" min="7" max="7" width="9.63"/>
    <col customWidth="1" min="8" max="8" width="14.0"/>
    <col customWidth="1" min="9" max="9" width="13.0"/>
    <col customWidth="1" min="10" max="14" width="14.0"/>
    <col customWidth="1" min="16" max="16" width="13.5"/>
  </cols>
  <sheetData>
    <row r="1">
      <c r="A1" s="1" t="s">
        <v>0</v>
      </c>
      <c r="B1" s="1" t="s">
        <v>1</v>
      </c>
      <c r="C1" s="2" t="s">
        <v>2</v>
      </c>
      <c r="G1" s="3" t="s">
        <v>3</v>
      </c>
      <c r="K1" s="4" t="s">
        <v>4</v>
      </c>
      <c r="O1" s="5" t="s">
        <v>5</v>
      </c>
    </row>
    <row r="2">
      <c r="C2" s="6" t="s">
        <v>6</v>
      </c>
      <c r="D2" s="6" t="s">
        <v>7</v>
      </c>
      <c r="E2" s="6" t="s">
        <v>8</v>
      </c>
      <c r="F2" s="6" t="s">
        <v>7</v>
      </c>
      <c r="G2" s="7" t="s">
        <v>6</v>
      </c>
      <c r="H2" s="7" t="s">
        <v>7</v>
      </c>
      <c r="I2" s="7" t="s">
        <v>8</v>
      </c>
      <c r="J2" s="7" t="s">
        <v>7</v>
      </c>
      <c r="K2" s="8" t="s">
        <v>6</v>
      </c>
      <c r="L2" s="8" t="s">
        <v>7</v>
      </c>
      <c r="M2" s="8" t="s">
        <v>8</v>
      </c>
      <c r="N2" s="8" t="s">
        <v>7</v>
      </c>
      <c r="O2" s="5" t="s">
        <v>6</v>
      </c>
      <c r="P2" s="5" t="s">
        <v>7</v>
      </c>
    </row>
    <row r="3">
      <c r="A3" s="9" t="s">
        <v>9</v>
      </c>
      <c r="B3" s="10">
        <v>4.0</v>
      </c>
      <c r="C3" s="10">
        <v>2.0</v>
      </c>
      <c r="D3" s="11">
        <f t="shared" ref="D3:D27" si="1"> ROUND((C3 / B3) * 100,2)</f>
        <v>50</v>
      </c>
      <c r="E3" s="10">
        <v>1.0</v>
      </c>
      <c r="F3" s="11">
        <f t="shared" ref="F3:F28" si="2"> ROUND((E3 / B3) * 100,2)</f>
        <v>25</v>
      </c>
      <c r="G3" s="10">
        <v>2.0</v>
      </c>
      <c r="H3" s="11">
        <f t="shared" ref="H3:H27" si="3">ROUND((G3/B3)*100,2)</f>
        <v>50</v>
      </c>
      <c r="I3" s="10">
        <v>0.0</v>
      </c>
      <c r="J3" s="11">
        <f t="shared" ref="J3:J27" si="4">ROUND((I3/B3)*100,2)</f>
        <v>0</v>
      </c>
      <c r="K3" s="10"/>
      <c r="L3" s="11">
        <f t="shared" ref="L3:L28" si="5">ROUND((K3/B3)*100,2)</f>
        <v>0</v>
      </c>
      <c r="M3" s="10"/>
      <c r="N3" s="11">
        <f t="shared" ref="N3:N28" si="6">ROUND((M3/B3)*100,2)</f>
        <v>0</v>
      </c>
      <c r="O3" s="10">
        <v>3.0</v>
      </c>
      <c r="P3" s="11">
        <f t="shared" ref="P3:P14" si="7">ROUND((O3/B3)*100,2)</f>
        <v>75</v>
      </c>
    </row>
    <row r="4">
      <c r="A4" s="9" t="s">
        <v>10</v>
      </c>
      <c r="B4" s="10">
        <v>16.0</v>
      </c>
      <c r="C4" s="10">
        <v>7.0</v>
      </c>
      <c r="D4" s="11">
        <f t="shared" si="1"/>
        <v>43.75</v>
      </c>
      <c r="E4" s="10">
        <v>9.0</v>
      </c>
      <c r="F4" s="11">
        <f t="shared" si="2"/>
        <v>56.25</v>
      </c>
      <c r="G4" s="10">
        <v>8.0</v>
      </c>
      <c r="H4" s="11">
        <f t="shared" si="3"/>
        <v>50</v>
      </c>
      <c r="I4" s="10">
        <v>5.0</v>
      </c>
      <c r="J4" s="11">
        <f t="shared" si="4"/>
        <v>31.25</v>
      </c>
      <c r="K4" s="10"/>
      <c r="L4" s="11">
        <f t="shared" si="5"/>
        <v>0</v>
      </c>
      <c r="M4" s="10"/>
      <c r="N4" s="11">
        <f t="shared" si="6"/>
        <v>0</v>
      </c>
      <c r="O4" s="10">
        <v>4.0</v>
      </c>
      <c r="P4" s="11">
        <f t="shared" si="7"/>
        <v>25</v>
      </c>
    </row>
    <row r="5">
      <c r="A5" s="9" t="s">
        <v>11</v>
      </c>
      <c r="B5" s="10">
        <v>16.0</v>
      </c>
      <c r="C5" s="10">
        <v>7.0</v>
      </c>
      <c r="D5" s="11">
        <f t="shared" si="1"/>
        <v>43.75</v>
      </c>
      <c r="E5" s="10">
        <v>10.0</v>
      </c>
      <c r="F5" s="11">
        <f t="shared" si="2"/>
        <v>62.5</v>
      </c>
      <c r="G5" s="10">
        <v>8.0</v>
      </c>
      <c r="H5" s="11">
        <f t="shared" si="3"/>
        <v>50</v>
      </c>
      <c r="I5" s="10">
        <v>6.0</v>
      </c>
      <c r="J5" s="11">
        <f t="shared" si="4"/>
        <v>37.5</v>
      </c>
      <c r="K5" s="10"/>
      <c r="L5" s="11">
        <f t="shared" si="5"/>
        <v>0</v>
      </c>
      <c r="M5" s="10"/>
      <c r="N5" s="11">
        <f t="shared" si="6"/>
        <v>0</v>
      </c>
      <c r="O5" s="10">
        <v>3.0</v>
      </c>
      <c r="P5" s="11">
        <f t="shared" si="7"/>
        <v>18.75</v>
      </c>
    </row>
    <row r="6">
      <c r="A6" s="9" t="s">
        <v>12</v>
      </c>
      <c r="B6" s="10">
        <v>16.0</v>
      </c>
      <c r="C6" s="10">
        <v>7.0</v>
      </c>
      <c r="D6" s="11">
        <f t="shared" si="1"/>
        <v>43.75</v>
      </c>
      <c r="E6" s="10">
        <v>9.0</v>
      </c>
      <c r="F6" s="11">
        <f t="shared" si="2"/>
        <v>56.25</v>
      </c>
      <c r="G6" s="10">
        <v>9.0</v>
      </c>
      <c r="H6" s="11">
        <f t="shared" si="3"/>
        <v>56.25</v>
      </c>
      <c r="I6" s="10">
        <v>7.0</v>
      </c>
      <c r="J6" s="11">
        <f t="shared" si="4"/>
        <v>43.75</v>
      </c>
      <c r="K6" s="10"/>
      <c r="L6" s="11">
        <f t="shared" si="5"/>
        <v>0</v>
      </c>
      <c r="M6" s="10"/>
      <c r="N6" s="11">
        <f t="shared" si="6"/>
        <v>0</v>
      </c>
      <c r="O6" s="10">
        <v>3.0</v>
      </c>
      <c r="P6" s="11">
        <f t="shared" si="7"/>
        <v>18.75</v>
      </c>
    </row>
    <row r="7">
      <c r="A7" s="9" t="s">
        <v>13</v>
      </c>
      <c r="B7" s="10">
        <v>16.0</v>
      </c>
      <c r="C7" s="10">
        <v>9.0</v>
      </c>
      <c r="D7" s="11">
        <f t="shared" si="1"/>
        <v>56.25</v>
      </c>
      <c r="E7" s="10">
        <v>9.0</v>
      </c>
      <c r="F7" s="11">
        <f t="shared" si="2"/>
        <v>56.25</v>
      </c>
      <c r="G7" s="10">
        <v>6.0</v>
      </c>
      <c r="H7" s="11">
        <f t="shared" si="3"/>
        <v>37.5</v>
      </c>
      <c r="I7" s="10">
        <v>8.0</v>
      </c>
      <c r="J7" s="11">
        <f t="shared" si="4"/>
        <v>50</v>
      </c>
      <c r="K7" s="10"/>
      <c r="L7" s="11">
        <f t="shared" si="5"/>
        <v>0</v>
      </c>
      <c r="M7" s="10"/>
      <c r="N7" s="11">
        <f t="shared" si="6"/>
        <v>0</v>
      </c>
      <c r="O7" s="10">
        <v>2.0</v>
      </c>
      <c r="P7" s="11">
        <f t="shared" si="7"/>
        <v>12.5</v>
      </c>
    </row>
    <row r="8">
      <c r="A8" s="9" t="s">
        <v>14</v>
      </c>
      <c r="B8" s="10">
        <v>16.0</v>
      </c>
      <c r="C8" s="10">
        <v>8.0</v>
      </c>
      <c r="D8" s="11">
        <f t="shared" si="1"/>
        <v>50</v>
      </c>
      <c r="E8" s="10">
        <v>7.0</v>
      </c>
      <c r="F8" s="11">
        <f t="shared" si="2"/>
        <v>43.75</v>
      </c>
      <c r="G8" s="10">
        <v>8.0</v>
      </c>
      <c r="H8" s="11">
        <f t="shared" si="3"/>
        <v>50</v>
      </c>
      <c r="I8" s="10">
        <v>7.0</v>
      </c>
      <c r="J8" s="11">
        <f t="shared" si="4"/>
        <v>43.75</v>
      </c>
      <c r="K8" s="10"/>
      <c r="L8" s="11">
        <f t="shared" si="5"/>
        <v>0</v>
      </c>
      <c r="M8" s="10"/>
      <c r="N8" s="11">
        <f t="shared" si="6"/>
        <v>0</v>
      </c>
      <c r="O8" s="10">
        <v>1.0</v>
      </c>
      <c r="P8" s="11">
        <f t="shared" si="7"/>
        <v>6.25</v>
      </c>
    </row>
    <row r="9">
      <c r="A9" s="9" t="s">
        <v>15</v>
      </c>
      <c r="B9" s="10">
        <v>6.0</v>
      </c>
      <c r="C9" s="10">
        <v>2.0</v>
      </c>
      <c r="D9" s="11">
        <f t="shared" si="1"/>
        <v>33.33</v>
      </c>
      <c r="E9" s="10">
        <v>4.0</v>
      </c>
      <c r="F9" s="11">
        <f t="shared" si="2"/>
        <v>66.67</v>
      </c>
      <c r="G9" s="10">
        <v>4.0</v>
      </c>
      <c r="H9" s="11">
        <f t="shared" si="3"/>
        <v>66.67</v>
      </c>
      <c r="I9" s="10">
        <v>2.0</v>
      </c>
      <c r="J9" s="11">
        <f t="shared" si="4"/>
        <v>33.33</v>
      </c>
      <c r="K9" s="10"/>
      <c r="L9" s="11">
        <f t="shared" si="5"/>
        <v>0</v>
      </c>
      <c r="M9" s="10"/>
      <c r="N9" s="11">
        <f t="shared" si="6"/>
        <v>0</v>
      </c>
      <c r="O9" s="10">
        <v>0.0</v>
      </c>
      <c r="P9" s="11">
        <f t="shared" si="7"/>
        <v>0</v>
      </c>
    </row>
    <row r="10">
      <c r="A10" s="9" t="s">
        <v>16</v>
      </c>
      <c r="B10" s="10">
        <v>6.0</v>
      </c>
      <c r="C10" s="10">
        <v>2.0</v>
      </c>
      <c r="D10" s="11">
        <f t="shared" si="1"/>
        <v>33.33</v>
      </c>
      <c r="E10" s="10">
        <v>4.0</v>
      </c>
      <c r="F10" s="11">
        <f t="shared" si="2"/>
        <v>66.67</v>
      </c>
      <c r="G10" s="10">
        <v>2.0</v>
      </c>
      <c r="H10" s="11">
        <f t="shared" si="3"/>
        <v>33.33</v>
      </c>
      <c r="I10" s="10">
        <v>2.0</v>
      </c>
      <c r="J10" s="11">
        <f t="shared" si="4"/>
        <v>33.33</v>
      </c>
      <c r="K10" s="10"/>
      <c r="L10" s="11">
        <f t="shared" si="5"/>
        <v>0</v>
      </c>
      <c r="M10" s="10"/>
      <c r="N10" s="11">
        <f t="shared" si="6"/>
        <v>0</v>
      </c>
      <c r="O10" s="10">
        <v>0.0</v>
      </c>
      <c r="P10" s="11">
        <f t="shared" si="7"/>
        <v>0</v>
      </c>
    </row>
    <row r="11">
      <c r="A11" s="9" t="s">
        <v>17</v>
      </c>
      <c r="B11" s="10">
        <v>6.0</v>
      </c>
      <c r="C11" s="10">
        <v>2.0</v>
      </c>
      <c r="D11" s="11">
        <f t="shared" si="1"/>
        <v>33.33</v>
      </c>
      <c r="E11" s="10">
        <v>1.0</v>
      </c>
      <c r="F11" s="11">
        <f t="shared" si="2"/>
        <v>16.67</v>
      </c>
      <c r="G11" s="10">
        <v>3.0</v>
      </c>
      <c r="H11" s="11">
        <f t="shared" si="3"/>
        <v>50</v>
      </c>
      <c r="I11" s="10">
        <v>2.0</v>
      </c>
      <c r="J11" s="11">
        <f t="shared" si="4"/>
        <v>33.33</v>
      </c>
      <c r="K11" s="10"/>
      <c r="L11" s="11">
        <f t="shared" si="5"/>
        <v>0</v>
      </c>
      <c r="M11" s="10"/>
      <c r="N11" s="11">
        <f t="shared" si="6"/>
        <v>0</v>
      </c>
      <c r="O11" s="10">
        <v>1.0</v>
      </c>
      <c r="P11" s="11">
        <f t="shared" si="7"/>
        <v>16.67</v>
      </c>
    </row>
    <row r="12">
      <c r="A12" s="9" t="s">
        <v>18</v>
      </c>
      <c r="B12" s="10">
        <v>6.0</v>
      </c>
      <c r="C12" s="10">
        <v>5.0</v>
      </c>
      <c r="D12" s="11">
        <f t="shared" si="1"/>
        <v>83.33</v>
      </c>
      <c r="E12" s="10">
        <v>6.0</v>
      </c>
      <c r="F12" s="11">
        <f t="shared" si="2"/>
        <v>100</v>
      </c>
      <c r="G12" s="10">
        <v>1.0</v>
      </c>
      <c r="H12" s="11">
        <f t="shared" si="3"/>
        <v>16.67</v>
      </c>
      <c r="I12" s="10">
        <v>4.0</v>
      </c>
      <c r="J12" s="11">
        <f t="shared" si="4"/>
        <v>66.67</v>
      </c>
      <c r="K12" s="10"/>
      <c r="L12" s="11">
        <f t="shared" si="5"/>
        <v>0</v>
      </c>
      <c r="M12" s="10"/>
      <c r="N12" s="11">
        <f t="shared" si="6"/>
        <v>0</v>
      </c>
      <c r="O12" s="10">
        <v>4.0</v>
      </c>
      <c r="P12" s="11">
        <f t="shared" si="7"/>
        <v>66.67</v>
      </c>
    </row>
    <row r="13">
      <c r="A13" s="9" t="s">
        <v>19</v>
      </c>
      <c r="B13" s="10">
        <v>6.0</v>
      </c>
      <c r="C13" s="10">
        <v>5.0</v>
      </c>
      <c r="D13" s="11">
        <f t="shared" si="1"/>
        <v>83.33</v>
      </c>
      <c r="E13" s="10">
        <v>6.0</v>
      </c>
      <c r="F13" s="11">
        <f t="shared" si="2"/>
        <v>100</v>
      </c>
      <c r="G13" s="10">
        <v>5.0</v>
      </c>
      <c r="H13" s="11">
        <f t="shared" si="3"/>
        <v>83.33</v>
      </c>
      <c r="I13" s="10">
        <v>5.0</v>
      </c>
      <c r="J13" s="11">
        <f t="shared" si="4"/>
        <v>83.33</v>
      </c>
      <c r="K13" s="10"/>
      <c r="L13" s="11">
        <f t="shared" si="5"/>
        <v>0</v>
      </c>
      <c r="M13" s="10"/>
      <c r="N13" s="11">
        <f t="shared" si="6"/>
        <v>0</v>
      </c>
      <c r="O13" s="10">
        <v>3.0</v>
      </c>
      <c r="P13" s="11">
        <f t="shared" si="7"/>
        <v>50</v>
      </c>
    </row>
    <row r="14">
      <c r="A14" s="9" t="s">
        <v>20</v>
      </c>
      <c r="B14" s="10">
        <v>6.0</v>
      </c>
      <c r="C14" s="10">
        <v>6.0</v>
      </c>
      <c r="D14" s="11">
        <f t="shared" si="1"/>
        <v>100</v>
      </c>
      <c r="E14" s="10">
        <v>5.0</v>
      </c>
      <c r="F14" s="11">
        <f t="shared" si="2"/>
        <v>83.33</v>
      </c>
      <c r="G14" s="10">
        <v>5.0</v>
      </c>
      <c r="H14" s="11">
        <f t="shared" si="3"/>
        <v>83.33</v>
      </c>
      <c r="I14" s="10">
        <v>5.0</v>
      </c>
      <c r="J14" s="11">
        <f t="shared" si="4"/>
        <v>83.33</v>
      </c>
      <c r="K14" s="10"/>
      <c r="L14" s="11">
        <f t="shared" si="5"/>
        <v>0</v>
      </c>
      <c r="M14" s="10"/>
      <c r="N14" s="11">
        <f t="shared" si="6"/>
        <v>0</v>
      </c>
      <c r="O14" s="10">
        <v>4.0</v>
      </c>
      <c r="P14" s="11">
        <f t="shared" si="7"/>
        <v>66.67</v>
      </c>
    </row>
    <row r="15">
      <c r="A15" s="9" t="s">
        <v>21</v>
      </c>
      <c r="B15" s="10">
        <v>6.0</v>
      </c>
      <c r="C15" s="10">
        <v>5.0</v>
      </c>
      <c r="D15" s="11">
        <f t="shared" si="1"/>
        <v>83.33</v>
      </c>
      <c r="E15" s="10">
        <v>6.0</v>
      </c>
      <c r="F15" s="11">
        <f t="shared" si="2"/>
        <v>100</v>
      </c>
      <c r="G15" s="10">
        <v>3.0</v>
      </c>
      <c r="H15" s="11">
        <f t="shared" si="3"/>
        <v>50</v>
      </c>
      <c r="I15" s="10">
        <v>5.0</v>
      </c>
      <c r="J15" s="11">
        <f t="shared" si="4"/>
        <v>83.33</v>
      </c>
      <c r="K15" s="10"/>
      <c r="L15" s="11">
        <f t="shared" si="5"/>
        <v>0</v>
      </c>
      <c r="M15" s="10"/>
      <c r="N15" s="11">
        <f t="shared" si="6"/>
        <v>0</v>
      </c>
      <c r="O15" s="10">
        <v>2.0</v>
      </c>
      <c r="P15" s="10">
        <v>2.0</v>
      </c>
    </row>
    <row r="16">
      <c r="A16" s="9" t="s">
        <v>22</v>
      </c>
      <c r="B16" s="10">
        <v>6.0</v>
      </c>
      <c r="C16" s="10">
        <v>4.0</v>
      </c>
      <c r="D16" s="11">
        <f t="shared" si="1"/>
        <v>66.67</v>
      </c>
      <c r="E16" s="10">
        <v>6.0</v>
      </c>
      <c r="F16" s="11">
        <f t="shared" si="2"/>
        <v>100</v>
      </c>
      <c r="G16" s="10">
        <v>3.0</v>
      </c>
      <c r="H16" s="11">
        <f t="shared" si="3"/>
        <v>50</v>
      </c>
      <c r="I16" s="10">
        <v>5.0</v>
      </c>
      <c r="J16" s="11">
        <f t="shared" si="4"/>
        <v>83.33</v>
      </c>
      <c r="K16" s="10"/>
      <c r="L16" s="11">
        <f t="shared" si="5"/>
        <v>0</v>
      </c>
      <c r="M16" s="10"/>
      <c r="N16" s="11">
        <f t="shared" si="6"/>
        <v>0</v>
      </c>
      <c r="O16" s="10">
        <v>3.0</v>
      </c>
      <c r="P16" s="11">
        <f t="shared" ref="P16:P27" si="8">ROUND((O16/B16)*100,2)</f>
        <v>50</v>
      </c>
    </row>
    <row r="17">
      <c r="A17" s="9" t="s">
        <v>23</v>
      </c>
      <c r="B17" s="10">
        <v>6.0</v>
      </c>
      <c r="C17" s="10">
        <v>3.0</v>
      </c>
      <c r="D17" s="11">
        <f t="shared" si="1"/>
        <v>50</v>
      </c>
      <c r="E17" s="10">
        <v>5.0</v>
      </c>
      <c r="F17" s="11">
        <f t="shared" si="2"/>
        <v>83.33</v>
      </c>
      <c r="G17" s="10">
        <v>1.0</v>
      </c>
      <c r="H17" s="11">
        <f t="shared" si="3"/>
        <v>16.67</v>
      </c>
      <c r="I17" s="10">
        <v>5.0</v>
      </c>
      <c r="J17" s="11">
        <f t="shared" si="4"/>
        <v>83.33</v>
      </c>
      <c r="K17" s="10"/>
      <c r="L17" s="11">
        <f t="shared" si="5"/>
        <v>0</v>
      </c>
      <c r="M17" s="10"/>
      <c r="N17" s="11">
        <f t="shared" si="6"/>
        <v>0</v>
      </c>
      <c r="O17" s="10">
        <v>3.0</v>
      </c>
      <c r="P17" s="11">
        <f t="shared" si="8"/>
        <v>50</v>
      </c>
    </row>
    <row r="18">
      <c r="A18" s="9" t="s">
        <v>24</v>
      </c>
      <c r="B18" s="10">
        <v>6.0</v>
      </c>
      <c r="C18" s="10">
        <v>6.0</v>
      </c>
      <c r="D18" s="11">
        <f t="shared" si="1"/>
        <v>100</v>
      </c>
      <c r="E18" s="10">
        <v>6.0</v>
      </c>
      <c r="F18" s="11">
        <f t="shared" si="2"/>
        <v>100</v>
      </c>
      <c r="G18" s="10">
        <v>3.0</v>
      </c>
      <c r="H18" s="11">
        <f t="shared" si="3"/>
        <v>50</v>
      </c>
      <c r="I18" s="10">
        <v>3.0</v>
      </c>
      <c r="J18" s="11">
        <f t="shared" si="4"/>
        <v>50</v>
      </c>
      <c r="K18" s="10"/>
      <c r="L18" s="11">
        <f t="shared" si="5"/>
        <v>0</v>
      </c>
      <c r="M18" s="10"/>
      <c r="N18" s="11">
        <f t="shared" si="6"/>
        <v>0</v>
      </c>
      <c r="O18" s="10">
        <v>3.0</v>
      </c>
      <c r="P18" s="11">
        <f t="shared" si="8"/>
        <v>50</v>
      </c>
    </row>
    <row r="19">
      <c r="A19" s="9" t="s">
        <v>25</v>
      </c>
      <c r="B19" s="10">
        <v>6.0</v>
      </c>
      <c r="C19" s="10">
        <v>5.0</v>
      </c>
      <c r="D19" s="11">
        <f t="shared" si="1"/>
        <v>83.33</v>
      </c>
      <c r="E19" s="10">
        <v>5.0</v>
      </c>
      <c r="F19" s="11">
        <f t="shared" si="2"/>
        <v>83.33</v>
      </c>
      <c r="G19" s="10">
        <v>4.0</v>
      </c>
      <c r="H19" s="11">
        <f t="shared" si="3"/>
        <v>66.67</v>
      </c>
      <c r="I19" s="10">
        <v>2.0</v>
      </c>
      <c r="J19" s="11">
        <f t="shared" si="4"/>
        <v>33.33</v>
      </c>
      <c r="K19" s="10"/>
      <c r="L19" s="11">
        <f t="shared" si="5"/>
        <v>0</v>
      </c>
      <c r="M19" s="10"/>
      <c r="N19" s="11">
        <f t="shared" si="6"/>
        <v>0</v>
      </c>
      <c r="O19" s="10">
        <v>3.0</v>
      </c>
      <c r="P19" s="11">
        <f t="shared" si="8"/>
        <v>50</v>
      </c>
    </row>
    <row r="20">
      <c r="A20" s="9" t="s">
        <v>26</v>
      </c>
      <c r="B20" s="10">
        <v>5.0</v>
      </c>
      <c r="C20" s="10">
        <v>4.0</v>
      </c>
      <c r="D20" s="11">
        <f t="shared" si="1"/>
        <v>80</v>
      </c>
      <c r="E20" s="10">
        <v>5.0</v>
      </c>
      <c r="F20" s="11">
        <f t="shared" si="2"/>
        <v>100</v>
      </c>
      <c r="G20" s="10">
        <v>2.0</v>
      </c>
      <c r="H20" s="11">
        <f t="shared" si="3"/>
        <v>40</v>
      </c>
      <c r="I20" s="10">
        <v>3.0</v>
      </c>
      <c r="J20" s="11">
        <f t="shared" si="4"/>
        <v>60</v>
      </c>
      <c r="K20" s="10"/>
      <c r="L20" s="11">
        <f t="shared" si="5"/>
        <v>0</v>
      </c>
      <c r="M20" s="10"/>
      <c r="N20" s="11">
        <f t="shared" si="6"/>
        <v>0</v>
      </c>
      <c r="O20" s="10">
        <v>3.0</v>
      </c>
      <c r="P20" s="11">
        <f t="shared" si="8"/>
        <v>60</v>
      </c>
    </row>
    <row r="21">
      <c r="A21" s="9" t="s">
        <v>27</v>
      </c>
      <c r="B21" s="10">
        <v>6.0</v>
      </c>
      <c r="C21" s="10">
        <v>6.0</v>
      </c>
      <c r="D21" s="11">
        <f t="shared" si="1"/>
        <v>100</v>
      </c>
      <c r="E21" s="10">
        <v>6.0</v>
      </c>
      <c r="F21" s="11">
        <f t="shared" si="2"/>
        <v>100</v>
      </c>
      <c r="G21" s="10">
        <v>2.0</v>
      </c>
      <c r="H21" s="11">
        <f t="shared" si="3"/>
        <v>33.33</v>
      </c>
      <c r="I21" s="10">
        <v>5.0</v>
      </c>
      <c r="J21" s="11">
        <f t="shared" si="4"/>
        <v>83.33</v>
      </c>
      <c r="K21" s="10"/>
      <c r="L21" s="11">
        <f t="shared" si="5"/>
        <v>0</v>
      </c>
      <c r="M21" s="10"/>
      <c r="N21" s="11">
        <f t="shared" si="6"/>
        <v>0</v>
      </c>
      <c r="O21" s="10">
        <v>3.0</v>
      </c>
      <c r="P21" s="11">
        <f t="shared" si="8"/>
        <v>50</v>
      </c>
    </row>
    <row r="22">
      <c r="A22" s="9" t="s">
        <v>28</v>
      </c>
      <c r="B22" s="10">
        <v>7.0</v>
      </c>
      <c r="C22" s="10">
        <v>6.0</v>
      </c>
      <c r="D22" s="11">
        <f t="shared" si="1"/>
        <v>85.71</v>
      </c>
      <c r="E22" s="10">
        <v>6.0</v>
      </c>
      <c r="F22" s="11">
        <f t="shared" si="2"/>
        <v>85.71</v>
      </c>
      <c r="G22" s="10">
        <v>3.0</v>
      </c>
      <c r="H22" s="11">
        <f t="shared" si="3"/>
        <v>42.86</v>
      </c>
      <c r="I22" s="10">
        <v>3.0</v>
      </c>
      <c r="J22" s="11">
        <f t="shared" si="4"/>
        <v>42.86</v>
      </c>
      <c r="K22" s="10"/>
      <c r="L22" s="11">
        <f t="shared" si="5"/>
        <v>0</v>
      </c>
      <c r="M22" s="10"/>
      <c r="N22" s="11">
        <f t="shared" si="6"/>
        <v>0</v>
      </c>
      <c r="O22" s="10">
        <v>4.0</v>
      </c>
      <c r="P22" s="11">
        <f t="shared" si="8"/>
        <v>57.14</v>
      </c>
    </row>
    <row r="23">
      <c r="A23" s="9" t="s">
        <v>29</v>
      </c>
      <c r="B23" s="10">
        <v>5.0</v>
      </c>
      <c r="C23" s="10">
        <v>4.0</v>
      </c>
      <c r="D23" s="11">
        <f t="shared" si="1"/>
        <v>80</v>
      </c>
      <c r="E23" s="10">
        <v>4.0</v>
      </c>
      <c r="F23" s="11">
        <f t="shared" si="2"/>
        <v>80</v>
      </c>
      <c r="G23" s="10">
        <v>2.0</v>
      </c>
      <c r="H23" s="11">
        <f t="shared" si="3"/>
        <v>40</v>
      </c>
      <c r="I23" s="10">
        <v>2.0</v>
      </c>
      <c r="J23" s="11">
        <f t="shared" si="4"/>
        <v>40</v>
      </c>
      <c r="K23" s="10"/>
      <c r="L23" s="11">
        <f t="shared" si="5"/>
        <v>0</v>
      </c>
      <c r="M23" s="10"/>
      <c r="N23" s="11">
        <f t="shared" si="6"/>
        <v>0</v>
      </c>
      <c r="O23" s="10">
        <v>2.0</v>
      </c>
      <c r="P23" s="11">
        <f t="shared" si="8"/>
        <v>40</v>
      </c>
    </row>
    <row r="24">
      <c r="A24" s="9" t="s">
        <v>30</v>
      </c>
      <c r="B24" s="10">
        <v>7.0</v>
      </c>
      <c r="C24" s="10">
        <v>5.0</v>
      </c>
      <c r="D24" s="11">
        <f t="shared" si="1"/>
        <v>71.43</v>
      </c>
      <c r="E24" s="10">
        <v>7.0</v>
      </c>
      <c r="F24" s="11">
        <f t="shared" si="2"/>
        <v>100</v>
      </c>
      <c r="G24" s="10">
        <v>4.0</v>
      </c>
      <c r="H24" s="11">
        <f t="shared" si="3"/>
        <v>57.14</v>
      </c>
      <c r="I24" s="10">
        <v>4.0</v>
      </c>
      <c r="J24" s="11">
        <f t="shared" si="4"/>
        <v>57.14</v>
      </c>
      <c r="K24" s="10"/>
      <c r="L24" s="11">
        <f t="shared" si="5"/>
        <v>0</v>
      </c>
      <c r="M24" s="10"/>
      <c r="N24" s="11">
        <f t="shared" si="6"/>
        <v>0</v>
      </c>
      <c r="O24" s="10">
        <v>2.0</v>
      </c>
      <c r="P24" s="11">
        <f t="shared" si="8"/>
        <v>28.57</v>
      </c>
    </row>
    <row r="25">
      <c r="A25" s="9" t="s">
        <v>31</v>
      </c>
      <c r="B25" s="10">
        <v>7.0</v>
      </c>
      <c r="C25" s="10">
        <v>4.0</v>
      </c>
      <c r="D25" s="11">
        <f t="shared" si="1"/>
        <v>57.14</v>
      </c>
      <c r="E25" s="10">
        <v>4.0</v>
      </c>
      <c r="F25" s="11">
        <f t="shared" si="2"/>
        <v>57.14</v>
      </c>
      <c r="G25" s="10">
        <v>3.0</v>
      </c>
      <c r="H25" s="11">
        <f t="shared" si="3"/>
        <v>42.86</v>
      </c>
      <c r="I25" s="10">
        <v>2.0</v>
      </c>
      <c r="J25" s="11">
        <f t="shared" si="4"/>
        <v>28.57</v>
      </c>
      <c r="K25" s="10"/>
      <c r="L25" s="11">
        <f t="shared" si="5"/>
        <v>0</v>
      </c>
      <c r="M25" s="10"/>
      <c r="N25" s="11">
        <f t="shared" si="6"/>
        <v>0</v>
      </c>
      <c r="O25" s="10">
        <v>3.0</v>
      </c>
      <c r="P25" s="11">
        <f t="shared" si="8"/>
        <v>42.86</v>
      </c>
    </row>
    <row r="26">
      <c r="A26" s="9" t="s">
        <v>32</v>
      </c>
      <c r="B26" s="10">
        <v>6.0</v>
      </c>
      <c r="C26" s="10">
        <v>1.0</v>
      </c>
      <c r="D26" s="11">
        <f t="shared" si="1"/>
        <v>16.67</v>
      </c>
      <c r="E26" s="10">
        <v>6.0</v>
      </c>
      <c r="F26" s="11">
        <f t="shared" si="2"/>
        <v>100</v>
      </c>
      <c r="G26" s="10">
        <v>4.0</v>
      </c>
      <c r="H26" s="11">
        <f t="shared" si="3"/>
        <v>66.67</v>
      </c>
      <c r="I26" s="10">
        <v>1.0</v>
      </c>
      <c r="J26" s="11">
        <f t="shared" si="4"/>
        <v>16.67</v>
      </c>
      <c r="K26" s="10"/>
      <c r="L26" s="11">
        <f t="shared" si="5"/>
        <v>0</v>
      </c>
      <c r="M26" s="10"/>
      <c r="N26" s="11">
        <f t="shared" si="6"/>
        <v>0</v>
      </c>
      <c r="O26" s="10">
        <v>2.0</v>
      </c>
      <c r="P26" s="11">
        <f t="shared" si="8"/>
        <v>33.33</v>
      </c>
    </row>
    <row r="27">
      <c r="A27" s="9" t="s">
        <v>33</v>
      </c>
      <c r="B27" s="10">
        <v>5.0</v>
      </c>
      <c r="C27" s="10">
        <v>2.0</v>
      </c>
      <c r="D27" s="11">
        <f t="shared" si="1"/>
        <v>40</v>
      </c>
      <c r="E27" s="10">
        <v>5.0</v>
      </c>
      <c r="F27" s="11">
        <f t="shared" si="2"/>
        <v>100</v>
      </c>
      <c r="G27" s="10">
        <v>3.0</v>
      </c>
      <c r="H27" s="11">
        <f t="shared" si="3"/>
        <v>60</v>
      </c>
      <c r="I27" s="10">
        <v>4.0</v>
      </c>
      <c r="J27" s="11">
        <f t="shared" si="4"/>
        <v>80</v>
      </c>
      <c r="K27" s="10"/>
      <c r="L27" s="11">
        <f t="shared" si="5"/>
        <v>0</v>
      </c>
      <c r="M27" s="10"/>
      <c r="N27" s="11">
        <f t="shared" si="6"/>
        <v>0</v>
      </c>
      <c r="O27" s="10">
        <v>2.0</v>
      </c>
      <c r="P27" s="11">
        <f t="shared" si="8"/>
        <v>40</v>
      </c>
    </row>
    <row r="28">
      <c r="A28" s="12" t="s">
        <v>34</v>
      </c>
      <c r="B28" s="13">
        <f t="shared" ref="B28:C28" si="9">SUM(B3:B27)</f>
        <v>198</v>
      </c>
      <c r="C28" s="13">
        <f t="shared" si="9"/>
        <v>117</v>
      </c>
      <c r="D28" s="13">
        <f>ROUND((C28/B28)*100,2)</f>
        <v>59.09</v>
      </c>
      <c r="E28" s="13">
        <f>SUM(E3:E27)</f>
        <v>142</v>
      </c>
      <c r="F28" s="13">
        <f t="shared" si="2"/>
        <v>71.72</v>
      </c>
      <c r="G28" s="13">
        <f>SUM(G3:G27)</f>
        <v>98</v>
      </c>
      <c r="H28" s="13">
        <f> ROUND((G28 / B28) * 100,2)</f>
        <v>49.49</v>
      </c>
      <c r="I28" s="13">
        <f>SUM(I3:I27)</f>
        <v>97</v>
      </c>
      <c r="J28" s="13">
        <f> ROUND((I28 / B28) * 100,2)</f>
        <v>48.99</v>
      </c>
      <c r="K28" s="13">
        <f>SUM(K3:K27)</f>
        <v>0</v>
      </c>
      <c r="L28" s="13">
        <f t="shared" si="5"/>
        <v>0</v>
      </c>
      <c r="M28" s="13">
        <f>SUM(M3:M27)</f>
        <v>0</v>
      </c>
      <c r="N28" s="13">
        <f t="shared" si="6"/>
        <v>0</v>
      </c>
      <c r="O28" s="13">
        <f>SUM(O3:O27)</f>
        <v>63</v>
      </c>
      <c r="P28" s="13">
        <f> ROUND((O28 / B28) * 100,2)</f>
        <v>31.82</v>
      </c>
    </row>
  </sheetData>
  <mergeCells count="6">
    <mergeCell ref="A1:A2"/>
    <mergeCell ref="B1:B2"/>
    <mergeCell ref="C1:F1"/>
    <mergeCell ref="G1:J1"/>
    <mergeCell ref="K1:N1"/>
    <mergeCell ref="O1:P1"/>
  </mergeCells>
  <drawing r:id="rId1"/>
</worksheet>
</file>